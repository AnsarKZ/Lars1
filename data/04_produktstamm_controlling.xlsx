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ktstamm" sheetId="1" state="visible" r:id="rId3"/>
    <sheet name="Hinwei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<sst xmlns="http://schemas.openxmlformats.org/spreadsheetml/2006/main" count="61" uniqueCount="53">
  <si>
    <t xml:space="preserve">SKU</t>
  </si>
  <si>
    <t xml:space="preserve">ASIN</t>
  </si>
  <si>
    <t xml:space="preserve">Produktname</t>
  </si>
  <si>
    <t xml:space="preserve">Produktgruppe</t>
  </si>
  <si>
    <t xml:space="preserve">Lebenszyklus</t>
  </si>
  <si>
    <t xml:space="preserve">Launch-Datum</t>
  </si>
  <si>
    <t xml:space="preserve">EK je Einheit (EUR)</t>
  </si>
  <si>
    <t xml:space="preserve">Fracht &amp; Zoll je Einheit (EUR)</t>
  </si>
  <si>
    <t xml:space="preserve">Landed Cost je Einheit (EUR)</t>
  </si>
  <si>
    <t xml:space="preserve">FBA-Gebühr je Einheit (EUR)</t>
  </si>
  <si>
    <t xml:space="preserve">Verkaufsgebühr (% vom Bruttopreis)</t>
  </si>
  <si>
    <t xml:space="preserve">Lagergebühr je Einheit &amp; Monat (EUR)</t>
  </si>
  <si>
    <t xml:space="preserve">Wiederbeschaffungszeit (Tage)</t>
  </si>
  <si>
    <t xml:space="preserve">Mindestbestellmenge (Stk.)</t>
  </si>
  <si>
    <t xml:space="preserve">Listenpreis brutto (EUR)</t>
  </si>
  <si>
    <t xml:space="preserve">Listenpreis brutto (GBP)</t>
  </si>
  <si>
    <t xml:space="preserve">LN-ISO-750-ANT</t>
  </si>
  <si>
    <t xml:space="preserve">B0DQ7K2M4Q</t>
  </si>
  <si>
    <t xml:space="preserve">Isolierflasche 750 ml Anthrazit</t>
  </si>
  <si>
    <t xml:space="preserve">Isolierflaschen</t>
  </si>
  <si>
    <t xml:space="preserve">Kernsortiment</t>
  </si>
  <si>
    <t xml:space="preserve">LN-ISO-500-ANT</t>
  </si>
  <si>
    <t xml:space="preserve">B0DQ7K3P8L</t>
  </si>
  <si>
    <t xml:space="preserve">Isolierflasche 500 ml Anthrazit</t>
  </si>
  <si>
    <t xml:space="preserve">LN-MUE-2</t>
  </si>
  <si>
    <t xml:space="preserve">B0DT4W9R2C</t>
  </si>
  <si>
    <t xml:space="preserve">Müslibehälter 2er-Set</t>
  </si>
  <si>
    <t xml:space="preserve">Vorratsbehälter</t>
  </si>
  <si>
    <t xml:space="preserve">LN-GTF-1000</t>
  </si>
  <si>
    <t xml:space="preserve">B0F1H6V3NX</t>
  </si>
  <si>
    <t xml:space="preserve">Glas-Trinkflasche 1 l</t>
  </si>
  <si>
    <t xml:space="preserve">Glasflaschen</t>
  </si>
  <si>
    <t xml:space="preserve">LN-BRK-L</t>
  </si>
  <si>
    <t xml:space="preserve">B0F2J8K5TE</t>
  </si>
  <si>
    <t xml:space="preserve">Brotkasten Bambus groß</t>
  </si>
  <si>
    <t xml:space="preserve">Brotkästen</t>
  </si>
  <si>
    <t xml:space="preserve">LN-SPS-2</t>
  </si>
  <si>
    <t xml:space="preserve">B0F2J8L7WA</t>
  </si>
  <si>
    <t xml:space="preserve">Salz- und Pfefferstreuer-Set</t>
  </si>
  <si>
    <t xml:space="preserve">Gewürz &amp; Tisch</t>
  </si>
  <si>
    <t xml:space="preserve">LN-KAR-1800</t>
  </si>
  <si>
    <t xml:space="preserve">B0FK3Z1Q9D</t>
  </si>
  <si>
    <t xml:space="preserve">Glaskaraffe 1,8 l</t>
  </si>
  <si>
    <t xml:space="preserve">Karaffen</t>
  </si>
  <si>
    <t xml:space="preserve">Launch</t>
  </si>
  <si>
    <t xml:space="preserve">LN-ISO-750-KOR</t>
  </si>
  <si>
    <t xml:space="preserve">B0DV2C8M1S</t>
  </si>
  <si>
    <t xml:space="preserve">Isolierflasche 750 ml Koralle</t>
  </si>
  <si>
    <t xml:space="preserve">Produktstamm LARS NYSØM (Übungsdaten, fiktiv)</t>
  </si>
  <si>
    <t xml:space="preserve">Stand: 15.09.2026 · Quelle: Controlling</t>
  </si>
  <si>
    <t xml:space="preserve">Landed Cost = EK + Fracht &amp; Zoll (Formel)</t>
  </si>
  <si>
    <t xml:space="preserve">Gebühren vereinfacht in EUR für alle Marktplätze</t>
  </si>
  <si>
    <t xml:space="preserve">Listenpreise: aktueller Stand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</si>
</sst>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#,##0.00&quot; €&quot;"/>
    <numFmt numFmtId="167" formatCode="0.0%"/>
    <numFmt numFmtId="168" formatCode="#,##0"/>
    <numFmt numFmtId="169" formatCode="#,##0.00&quot; £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34"/>
        <bgColor rgb="FF333300"/>
      </patternFill>
    </fill>
    <fill>
      <patternFill patternType="solid">
        <fgColor rgb="FFEEF3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3CE"/>
      <rgbColor rgb="FF808080"/>
      <rgbColor rgb="FF9999FF"/>
      <rgbColor rgb="FF993366"/>
      <rgbColor rgb="FFEEF3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11" min="8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6" min="15" style="0" width="12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 t="n">
        <v>45033</v>
      </c>
      <c r="G2" s="4" t="n">
        <v>5.9</v>
      </c>
      <c r="H2" s="4" t="n">
        <v>1.6</v>
      </c>
      <c r="I2" s="5" t="n">
        <f aca="false">G2+H2</f>
        <v>7.5</v>
      </c>
      <c r="J2" s="4" t="n">
        <v>3.6</v>
      </c>
      <c r="K2" s="6" t="n">
        <v>0.15</v>
      </c>
      <c r="L2" s="4" t="n">
        <v>0.18</v>
      </c>
      <c r="M2" s="7" t="n">
        <v>45</v>
      </c>
      <c r="N2" s="8" t="n">
        <v>1000</v>
      </c>
      <c r="O2" s="4" t="n">
        <v>29.99</v>
      </c>
      <c r="P2" s="9" t="n">
        <v>25.99</v>
      </c>
    </row>
    <row r="3" customFormat="false" ht="15" hidden="false" customHeight="false" outlineLevel="0" collapsed="false">
      <c r="A3" s="10" t="s">
        <v>21</v>
      </c>
      <c r="B3" s="10" t="s">
        <v>22</v>
      </c>
      <c r="C3" s="10" t="s">
        <v>23</v>
      </c>
      <c r="D3" s="10" t="s">
        <v>19</v>
      </c>
      <c r="E3" s="10" t="s">
        <v>20</v>
      </c>
      <c r="F3" s="11" t="n">
        <v>45033</v>
      </c>
      <c r="G3" s="12" t="n">
        <v>4.9</v>
      </c>
      <c r="H3" s="12" t="n">
        <v>1.4</v>
      </c>
      <c r="I3" s="13" t="n">
        <f aca="false">G3+H3</f>
        <v>6.3</v>
      </c>
      <c r="J3" s="12" t="n">
        <v>3.4</v>
      </c>
      <c r="K3" s="14" t="n">
        <v>0.15</v>
      </c>
      <c r="L3" s="12" t="n">
        <v>0.15</v>
      </c>
      <c r="M3" s="15" t="n">
        <v>45</v>
      </c>
      <c r="N3" s="16" t="n">
        <v>1000</v>
      </c>
      <c r="O3" s="12" t="n">
        <v>24.99</v>
      </c>
      <c r="P3" s="17" t="n">
        <v>21.99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20</v>
      </c>
      <c r="F4" s="3" t="n">
        <v>45327</v>
      </c>
      <c r="G4" s="4" t="n">
        <v>5.2</v>
      </c>
      <c r="H4" s="4" t="n">
        <v>1.8</v>
      </c>
      <c r="I4" s="5" t="n">
        <f aca="false">G4+H4</f>
        <v>7</v>
      </c>
      <c r="J4" s="4" t="n">
        <v>4.2</v>
      </c>
      <c r="K4" s="6" t="n">
        <v>0.15</v>
      </c>
      <c r="L4" s="4" t="n">
        <v>0.35</v>
      </c>
      <c r="M4" s="7" t="n">
        <v>60</v>
      </c>
      <c r="N4" s="8" t="n">
        <v>800</v>
      </c>
      <c r="O4" s="4" t="n">
        <v>27.99</v>
      </c>
      <c r="P4" s="9" t="n">
        <v>23.99</v>
      </c>
    </row>
    <row r="5" customFormat="false" ht="15" hidden="false" customHeight="false" outlineLevel="0" collapsed="false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20</v>
      </c>
      <c r="F5" s="11" t="n">
        <v>45523</v>
      </c>
      <c r="G5" s="12" t="n">
        <v>4.8</v>
      </c>
      <c r="H5" s="12" t="n">
        <v>1.5</v>
      </c>
      <c r="I5" s="13" t="n">
        <f aca="false">G5+H5</f>
        <v>6.3</v>
      </c>
      <c r="J5" s="12" t="n">
        <v>3.6</v>
      </c>
      <c r="K5" s="14" t="n">
        <v>0.15</v>
      </c>
      <c r="L5" s="12" t="n">
        <v>0.2</v>
      </c>
      <c r="M5" s="15" t="n">
        <v>50</v>
      </c>
      <c r="N5" s="16" t="n">
        <v>1000</v>
      </c>
      <c r="O5" s="12" t="n">
        <v>24.99</v>
      </c>
      <c r="P5" s="17" t="n">
        <v>21.99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20</v>
      </c>
      <c r="F6" s="3" t="n">
        <v>45572</v>
      </c>
      <c r="G6" s="4" t="n">
        <v>12.5</v>
      </c>
      <c r="H6" s="4" t="n">
        <v>3.5</v>
      </c>
      <c r="I6" s="5" t="n">
        <f aca="false">G6+H6</f>
        <v>16</v>
      </c>
      <c r="J6" s="4" t="n">
        <v>5.3</v>
      </c>
      <c r="K6" s="6" t="n">
        <v>0.15</v>
      </c>
      <c r="L6" s="4" t="n">
        <v>0.55</v>
      </c>
      <c r="M6" s="7" t="n">
        <v>60</v>
      </c>
      <c r="N6" s="8" t="n">
        <v>400</v>
      </c>
      <c r="O6" s="4" t="n">
        <v>49.99</v>
      </c>
      <c r="P6" s="9" t="n">
        <v>42.99</v>
      </c>
    </row>
    <row r="7" customFormat="false" ht="15" hidden="false" customHeight="false" outlineLevel="0" collapsed="false">
      <c r="A7" s="10" t="s">
        <v>36</v>
      </c>
      <c r="B7" s="10" t="s">
        <v>37</v>
      </c>
      <c r="C7" s="10" t="s">
        <v>38</v>
      </c>
      <c r="D7" s="10" t="s">
        <v>39</v>
      </c>
      <c r="E7" s="10" t="s">
        <v>20</v>
      </c>
      <c r="F7" s="11" t="n">
        <v>45572</v>
      </c>
      <c r="G7" s="12" t="n">
        <v>5.5</v>
      </c>
      <c r="H7" s="12" t="n">
        <v>1.2</v>
      </c>
      <c r="I7" s="13" t="n">
        <f aca="false">G7+H7</f>
        <v>6.7</v>
      </c>
      <c r="J7" s="12" t="n">
        <v>3.4</v>
      </c>
      <c r="K7" s="14" t="n">
        <v>0.15</v>
      </c>
      <c r="L7" s="12" t="n">
        <v>0.15</v>
      </c>
      <c r="M7" s="15" t="n">
        <v>60</v>
      </c>
      <c r="N7" s="16" t="n">
        <v>500</v>
      </c>
      <c r="O7" s="12" t="n">
        <v>27.99</v>
      </c>
      <c r="P7" s="17" t="n">
        <v>21.99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3" t="n">
        <v>46153</v>
      </c>
      <c r="G8" s="4" t="n">
        <v>6.8</v>
      </c>
      <c r="H8" s="4" t="n">
        <v>2.2</v>
      </c>
      <c r="I8" s="5" t="n">
        <f aca="false">G8+H8</f>
        <v>9</v>
      </c>
      <c r="J8" s="4" t="n">
        <v>4.8</v>
      </c>
      <c r="K8" s="6" t="n">
        <v>0.15</v>
      </c>
      <c r="L8" s="4" t="n">
        <v>0.4</v>
      </c>
      <c r="M8" s="7" t="n">
        <v>70</v>
      </c>
      <c r="N8" s="8" t="n">
        <v>600</v>
      </c>
      <c r="O8" s="4" t="n">
        <v>34.99</v>
      </c>
      <c r="P8" s="9" t="n">
        <v>29.99</v>
      </c>
    </row>
    <row r="9" customFormat="false" ht="15" hidden="false" customHeight="false" outlineLevel="0" collapsed="false">
      <c r="A9" s="10" t="s">
        <v>45</v>
      </c>
      <c r="B9" s="10" t="s">
        <v>46</v>
      </c>
      <c r="C9" s="10" t="s">
        <v>47</v>
      </c>
      <c r="D9" s="10" t="s">
        <v>19</v>
      </c>
      <c r="E9" s="10" t="s">
        <v>20</v>
      </c>
      <c r="F9" s="11" t="n">
        <v>45180</v>
      </c>
      <c r="G9" s="12" t="n">
        <v>5.9</v>
      </c>
      <c r="H9" s="12" t="n">
        <v>1.6</v>
      </c>
      <c r="I9" s="13" t="n">
        <f aca="false">G9+H9</f>
        <v>7.5</v>
      </c>
      <c r="J9" s="12" t="n">
        <v>3.6</v>
      </c>
      <c r="K9" s="14" t="n">
        <v>0.15</v>
      </c>
      <c r="L9" s="12" t="n">
        <v>0.18</v>
      </c>
      <c r="M9" s="15" t="n">
        <v>45</v>
      </c>
      <c r="N9" s="16" t="n">
        <v>1000</v>
      </c>
      <c r="O9" s="12" t="n">
        <v>29.99</v>
      </c>
      <c r="P9" s="17" t="n">
        <v>25.99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18" t="s">
        <v>48</v>
      </c>
    </row>
    <row r="2" customFormat="false" ht="15" hidden="false" customHeight="false" outlineLevel="0" collapsed="false">
      <c r="A2" s="19" t="s">
        <v>49</v>
      </c>
    </row>
    <row r="3" customFormat="false" ht="15" hidden="false" customHeight="false" outlineLevel="0" collapsed="false">
      <c r="A3" s="19" t="s">
        <v>50</v>
      </c>
    </row>
    <row r="4" customFormat="false" ht="15" hidden="false" customHeight="false" outlineLevel="0" collapsed="false">
      <c r="A4" s="19" t="s">
        <v>51</v>
      </c>
    </row>
    <row r="5" customFormat="false" ht="15" hidden="false" customHeight="false" outlineLevel="0" collapsed="false">
      <c r="A5" s="1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2026-09-30T22:12:21Z</dcterms:created>
  <dc:creator>openpyxl</dc:creator>
  <dc:description/>
  <dc:language>en-US</dc:language>
  <cp:lastModifiedBy/>
  <dcterms:modified xsi:type="dcterms:W3CDTF">2026-09-30T22:12:21Z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